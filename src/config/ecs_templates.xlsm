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L:\Documents\GitHub\AHRLFramework\src\config\"/>
    </mc:Choice>
  </mc:AlternateContent>
  <bookViews>
    <workbookView xWindow="0" yWindow="0" windowWidth="25200" windowHeight="11145" tabRatio="679" activeTab="3"/>
  </bookViews>
  <sheets>
    <sheet name="NPCs" sheetId="5" r:id="rId1"/>
    <sheet name="EXPORT_NPCs" sheetId="6" r:id="rId2"/>
    <sheet name="LOOKUP" sheetId="1" r:id="rId3"/>
    <sheet name="Lookup_Components" sheetId="2" r:id="rId4"/>
  </sheets>
  <definedNames>
    <definedName name="LIST_ComponentPackageNames">TABLE_LOOKUP_ComponentPackages[LIST_ComponentPackageNames]</definedName>
    <definedName name="LIST_NPC_Types">TABLE_LIST_NPCTypes[LIST_NPC_Types]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6" l="1"/>
  <c r="A2" i="6"/>
  <c r="E2" i="5"/>
  <c r="C2" i="6" s="1"/>
</calcChain>
</file>

<file path=xl/comments1.xml><?xml version="1.0" encoding="utf-8"?>
<comments xmlns="http://schemas.openxmlformats.org/spreadsheetml/2006/main">
  <authors>
    <author>Anders Howard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Anders Howard:</t>
        </r>
        <r>
          <rPr>
            <sz val="9"/>
            <color indexed="81"/>
            <rFont val="Tahoma"/>
            <family val="2"/>
          </rPr>
          <t xml:space="preserve">
You can manually add additional components by added semicolon-separated component names here.</t>
        </r>
      </text>
    </comment>
  </commentList>
</comments>
</file>

<file path=xl/sharedStrings.xml><?xml version="1.0" encoding="utf-8"?>
<sst xmlns="http://schemas.openxmlformats.org/spreadsheetml/2006/main" count="106" uniqueCount="69">
  <si>
    <t>Component</t>
  </si>
  <si>
    <t>Arg Types</t>
  </si>
  <si>
    <t>Args List</t>
  </si>
  <si>
    <t>Package</t>
  </si>
  <si>
    <t>Module File</t>
  </si>
  <si>
    <t>Ability Handler</t>
  </si>
  <si>
    <t>AI State Machine</t>
  </si>
  <si>
    <t>Equipment</t>
  </si>
  <si>
    <t>Inventory</t>
  </si>
  <si>
    <t>Mover</t>
  </si>
  <si>
    <t>NPC</t>
  </si>
  <si>
    <t>Renderable</t>
  </si>
  <si>
    <t>Tile</t>
  </si>
  <si>
    <t>Tile Effect</t>
  </si>
  <si>
    <t>Transform</t>
  </si>
  <si>
    <t>StatXP</t>
  </si>
  <si>
    <t>StatStrength</t>
  </si>
  <si>
    <t>StatDefense</t>
  </si>
  <si>
    <t>StatHealth</t>
  </si>
  <si>
    <t>XPGranter</t>
  </si>
  <si>
    <t>C_AbilityHandler</t>
  </si>
  <si>
    <t>C_AIStateMachine</t>
  </si>
  <si>
    <t>C_Equipment</t>
  </si>
  <si>
    <t>C_Inventory</t>
  </si>
  <si>
    <t>C_Mover</t>
  </si>
  <si>
    <t>C_NPC</t>
  </si>
  <si>
    <t>C_Renderable</t>
  </si>
  <si>
    <t>C_Tile</t>
  </si>
  <si>
    <t>C_Transform</t>
  </si>
  <si>
    <t>C_StatXP</t>
  </si>
  <si>
    <t>C_StatStrength</t>
  </si>
  <si>
    <t>C_StatDefense</t>
  </si>
  <si>
    <t>C_StatHealth</t>
  </si>
  <si>
    <t>C_XPGranter</t>
  </si>
  <si>
    <t>StatDamage</t>
  </si>
  <si>
    <t>C_StatDamage</t>
  </si>
  <si>
    <t>C_Tile Effect</t>
  </si>
  <si>
    <t>Tick</t>
  </si>
  <si>
    <t>C_Tick</t>
  </si>
  <si>
    <t>component</t>
  </si>
  <si>
    <t>Name</t>
  </si>
  <si>
    <t>Type</t>
  </si>
  <si>
    <t>LIST_NPC_Types</t>
  </si>
  <si>
    <t>monster</t>
  </si>
  <si>
    <t>npc_dialog</t>
  </si>
  <si>
    <t>npc_questgiver</t>
  </si>
  <si>
    <t>npc_silent</t>
  </si>
  <si>
    <t>Comment</t>
  </si>
  <si>
    <t>Has full combat loadout.</t>
  </si>
  <si>
    <t>Says something or has a dialog tree.</t>
  </si>
  <si>
    <t>Gives a quest.</t>
  </si>
  <si>
    <t>Says nothing. Is essentially scenery.</t>
  </si>
  <si>
    <t>gnoll</t>
  </si>
  <si>
    <t>Component Package Template</t>
  </si>
  <si>
    <t>Additional Components OR</t>
  </si>
  <si>
    <t>Final component list</t>
  </si>
  <si>
    <t>default_monster</t>
  </si>
  <si>
    <t>Component List</t>
  </si>
  <si>
    <t>Class</t>
  </si>
  <si>
    <t>LIST_ComponentPackageNames</t>
  </si>
  <si>
    <t>default_player</t>
  </si>
  <si>
    <t>C_AbilityHandler;C_Equipment;C_Inventory;C_Mover;C_Renderable;C_StatDamage;C_StatDefense;C_StatHealth;C_StatStrength;C_StatXP;C_Tick;C_Transform</t>
  </si>
  <si>
    <t>Lootable</t>
  </si>
  <si>
    <t>C_Lootable</t>
  </si>
  <si>
    <t>C_FlavorText</t>
  </si>
  <si>
    <t>C_AbilityHandler;C_AIStateMachine;C_Mover;C_NPC;C_Renderable;C_StatDamage;C_StatDefense;C_StatHealth;C_StatStrength;C_Tick;C_Transform;C_XPGranter;C_Lootable;C_StatXP;C_FlavorText</t>
  </si>
  <si>
    <t>NPC_Name</t>
  </si>
  <si>
    <t>NPC_Type</t>
  </si>
  <si>
    <t>NPC_Components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</si>
</sst>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BC8FDD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Border="0" applyAlignment="0" applyProtection="0"/>
    <xf numFmtId="0" fontId="3" fillId="4" borderId="0" applyNumberFormat="0" applyAlignment="0" applyProtection="0"/>
  </cellStyleXfs>
  <cellXfs count="5">
    <xf numFmtId="0" fontId="0" fillId="0" borderId="0" xfId="0"/>
    <xf numFmtId="0" fontId="2" fillId="3" borderId="1" xfId="2"/>
    <xf numFmtId="0" fontId="3" fillId="4" borderId="0" xfId="3"/>
    <xf numFmtId="0" fontId="2" fillId="3" borderId="0" xfId="2" applyBorder="1"/>
    <xf numFmtId="0" fontId="1" fillId="2" borderId="1" xfId="1" applyBorder="1"/>
  </cellXfs>
  <cellStyles count="4">
    <cellStyle name="Calculation" xfId="3" builtinId="22" customBuiltin="1"/>
    <cellStyle name="Input" xfId="2" builtinId="20" customBuiltin="1"/>
    <cellStyle name="Neutral" xfId="1" builtinId="28"/>
    <cellStyle name="Normal" xfId="0" builtinId="0"/>
  </cellStyles>
  <dxfs count="0"/>
  <tableStyles count="0" defaultTableStyle="TableStyleMedium2" defaultPivotStyle="PivotStyleLight16"/>
  <colors>
    <mruColors>
      <color rgb="FFBC8F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114300</xdr:rowOff>
        </xdr:from>
        <xdr:to>
          <xdr:col>1</xdr:col>
          <xdr:colOff>1171575</xdr:colOff>
          <xdr:row>0</xdr:row>
          <xdr:rowOff>552450</xdr:rowOff>
        </xdr:to>
        <xdr:sp macro="" textlink="">
          <xdr:nvSpPr>
            <xdr:cNvPr id="5121" name="EXPORT_NPCs_Button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TABLE_DATA_NPCs" displayName="TABLE_DATA_NPCs" ref="A1:E2" totalsRowShown="0">
  <autoFilter ref="A1:E2"/>
  <tableColumns count="5">
    <tableColumn id="1" name="Name" dataCellStyle="Input"/>
    <tableColumn id="2" name="Type" dataCellStyle="Input"/>
    <tableColumn id="3" name="Component Package Template" dataCellStyle="Input"/>
    <tableColumn id="4" name="Additional Components OR" dataCellStyle="Neutral"/>
    <tableColumn id="5" name="Final component list" dataCellStyle="Calculation">
      <calculatedColumnFormula>CONCATENATE(VLOOKUP(TABLE_DATA_NPCs[Component Package Template],TABLE_LOOKUP_ComponentPackages[],COUNTA(TABLE_LOOKUP_ComponentPackages[#Headers]),FALSE),IF(TABLE_DATA_NPCs[Additional Components OR]&lt;&gt;"",CONCATENATE(";",TABLE_DATA_NPCs[Additional Components OR]),""))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_EXPORT_NPCs" displayName="TABLE_EXPORT_NPCs" ref="A1:C2" totalsRowShown="0" dataCellStyle="Calculation">
  <autoFilter ref="A1:C2"/>
  <tableColumns count="3">
    <tableColumn id="1" name="NPC_Name" dataCellStyle="Calculation">
      <calculatedColumnFormula>TABLE_DATA_NPCs[Name]</calculatedColumnFormula>
    </tableColumn>
    <tableColumn id="2" name="NPC_Type" dataCellStyle="Calculation">
      <calculatedColumnFormula>TABLE_DATA_NPCs[Type]</calculatedColumnFormula>
    </tableColumn>
    <tableColumn id="3" name="NPC_Components" dataCellStyle="Calculation">
      <calculatedColumnFormula>TABLE_DATA_NPCs[Final component list]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_LIST_NPCTypes" displayName="TABLE_LIST_NPCTypes" ref="A1:B5" totalsRowShown="0" dataCellStyle="Input">
  <autoFilter ref="A1:B5"/>
  <tableColumns count="2">
    <tableColumn id="1" name="LIST_NPC_Types" dataCellStyle="Input"/>
    <tableColumn id="2" name="Comment" dataCellStyle="Inpu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LOOKUP_Components" displayName="TABLE_LOOKUP_Components" ref="A1:F20" totalsRowShown="0">
  <autoFilter ref="A1:F20"/>
  <sortState ref="A2:E20">
    <sortCondition ref="A1:A20"/>
  </sortState>
  <tableColumns count="6">
    <tableColumn id="1" name="Component" dataCellStyle="Input"/>
    <tableColumn id="2" name="Arg Types" dataCellStyle="Input"/>
    <tableColumn id="3" name="Args List" dataCellStyle="Input"/>
    <tableColumn id="4" name="Package" dataCellStyle="Input"/>
    <tableColumn id="5" name="Module File" dataCellStyle="Input"/>
    <tableColumn id="6" name="Class" dataCellStyle="Inpu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_LOOKUP_ComponentPackages" displayName="TABLE_LOOKUP_ComponentPackages" ref="H1:I3" totalsRowShown="0" dataCellStyle="Input">
  <autoFilter ref="H1:I3"/>
  <tableColumns count="2">
    <tableColumn id="1" name="LIST_ComponentPackageNames" dataCellStyle="Input"/>
    <tableColumn id="2" name="Component List" dataCellStyle="Inpu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 tint="0.39997558519241921"/>
  </sheetPr>
  <dimension ref="A1:E2"/>
  <sheetViews>
    <sheetView workbookViewId="0">
      <selection activeCell="C2" sqref="C2"/>
    </sheetView>
  </sheetViews>
  <sheetFormatPr defaultRowHeight="15" x14ac:dyDescent="0.25"/>
  <cols>
    <col min="2" max="2" width="15.42578125" bestFit="1" customWidth="1"/>
    <col min="3" max="3" width="30" customWidth="1"/>
    <col min="4" max="4" width="27.85546875" bestFit="1" customWidth="1"/>
    <col min="5" max="5" width="179.42578125" bestFit="1" customWidth="1"/>
  </cols>
  <sheetData>
    <row r="1" spans="1:5" x14ac:dyDescent="0.25">
      <c r="A1" t="s">
        <v>40</v>
      </c>
      <c r="B1" t="s">
        <v>41</v>
      </c>
      <c r="C1" t="s">
        <v>53</v>
      </c>
      <c r="D1" t="s">
        <v>54</v>
      </c>
      <c r="E1" t="s">
        <v>55</v>
      </c>
    </row>
    <row r="2" spans="1:5" x14ac:dyDescent="0.25">
      <c r="A2" s="1" t="s">
        <v>52</v>
      </c>
      <c r="B2" s="1" t="s">
        <v>43</v>
      </c>
      <c r="C2" s="1" t="s">
        <v>56</v>
      </c>
      <c r="D2" s="4"/>
      <c r="E2" s="2" t="str">
        <f>CONCATENATE(VLOOKUP(TABLE_DATA_NPCs[Component Package Template],TABLE_LOOKUP_ComponentPackages[],COUNTA(TABLE_LOOKUP_ComponentPackages[#Headers]),FALSE),IF(TABLE_DATA_NPCs[Additional Components OR]&lt;&gt;"",CONCATENATE(";",TABLE_DATA_NPCs[Additional Components OR]),""))</f>
        <v>C_AbilityHandler;C_AIStateMachine;C_Mover;C_NPC;C_Renderable;C_StatDamage;C_StatDefense;C_StatHealth;C_StatStrength;C_Tick;C_Transform;C_XPGranter;C_Lootable;C_StatXP;C_FlavorText</v>
      </c>
    </row>
  </sheetData>
  <dataValidations count="2">
    <dataValidation type="list" allowBlank="1" showInputMessage="1" showErrorMessage="1" sqref="B2">
      <formula1>LIST_NPC_Types</formula1>
    </dataValidation>
    <dataValidation type="list" allowBlank="1" showInputMessage="1" showErrorMessage="1" sqref="C2">
      <formula1>LIST_ComponentPackageNames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7" tint="0.39997558519241921"/>
  </sheetPr>
  <dimension ref="A1:C2"/>
  <sheetViews>
    <sheetView workbookViewId="0">
      <selection activeCell="C2" sqref="C2"/>
    </sheetView>
  </sheetViews>
  <sheetFormatPr defaultRowHeight="15" x14ac:dyDescent="0.25"/>
  <cols>
    <col min="1" max="1" width="13.140625" customWidth="1"/>
    <col min="2" max="2" width="23.42578125" customWidth="1"/>
    <col min="3" max="3" width="179.42578125" bestFit="1" customWidth="1"/>
  </cols>
  <sheetData>
    <row r="1" spans="1:3" ht="64.5" customHeight="1" x14ac:dyDescent="0.25">
      <c r="A1" t="s">
        <v>66</v>
      </c>
      <c r="B1" t="s">
        <v>67</v>
      </c>
      <c r="C1" t="s">
        <v>68</v>
      </c>
    </row>
    <row r="2" spans="1:3" x14ac:dyDescent="0.25">
      <c r="A2" s="2" t="str">
        <f>TABLE_DATA_NPCs[Name]</f>
        <v>gnoll</v>
      </c>
      <c r="B2" s="2" t="str">
        <f>TABLE_DATA_NPCs[Type]</f>
        <v>monster</v>
      </c>
      <c r="C2" s="2" t="str">
        <f>TABLE_DATA_NPCs[Final component list]</f>
        <v>C_AbilityHandler;C_AIStateMachine;C_Mover;C_NPC;C_Renderable;C_StatDamage;C_StatDefense;C_StatHealth;C_StatStrength;C_Tick;C_Transform;C_XPGranter;C_Lootable;C_StatXP;C_FlavorText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EXPORT_NPCs_Button">
          <controlPr defaultSize="0" autoLine="0" r:id="rId4">
            <anchor moveWithCells="1">
              <from>
                <xdr:col>0</xdr:col>
                <xdr:colOff>95250</xdr:colOff>
                <xdr:row>0</xdr:row>
                <xdr:rowOff>114300</xdr:rowOff>
              </from>
              <to>
                <xdr:col>1</xdr:col>
                <xdr:colOff>1171575</xdr:colOff>
                <xdr:row>0</xdr:row>
                <xdr:rowOff>552450</xdr:rowOff>
              </to>
            </anchor>
          </controlPr>
        </control>
      </mc:Choice>
      <mc:Fallback>
        <control shapeId="5121" r:id="rId3" name="EXPORT_NPCs_Button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B5"/>
  <sheetViews>
    <sheetView workbookViewId="0">
      <selection activeCell="F10" sqref="F10"/>
    </sheetView>
  </sheetViews>
  <sheetFormatPr defaultRowHeight="15" x14ac:dyDescent="0.25"/>
  <cols>
    <col min="1" max="1" width="19.28515625" bestFit="1" customWidth="1"/>
    <col min="2" max="2" width="33.140625" bestFit="1" customWidth="1"/>
    <col min="3" max="3" width="16.42578125" bestFit="1" customWidth="1"/>
  </cols>
  <sheetData>
    <row r="1" spans="1:2" x14ac:dyDescent="0.25">
      <c r="A1" t="s">
        <v>42</v>
      </c>
      <c r="B1" t="s">
        <v>47</v>
      </c>
    </row>
    <row r="2" spans="1:2" x14ac:dyDescent="0.25">
      <c r="A2" s="3" t="s">
        <v>43</v>
      </c>
      <c r="B2" s="3" t="s">
        <v>48</v>
      </c>
    </row>
    <row r="3" spans="1:2" x14ac:dyDescent="0.25">
      <c r="A3" s="3" t="s">
        <v>44</v>
      </c>
      <c r="B3" s="3" t="s">
        <v>49</v>
      </c>
    </row>
    <row r="4" spans="1:2" x14ac:dyDescent="0.25">
      <c r="A4" s="3" t="s">
        <v>45</v>
      </c>
      <c r="B4" s="3" t="s">
        <v>50</v>
      </c>
    </row>
    <row r="5" spans="1:2" x14ac:dyDescent="0.25">
      <c r="A5" s="3" t="s">
        <v>46</v>
      </c>
      <c r="B5" s="3" t="s">
        <v>51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0.249977111117893"/>
  </sheetPr>
  <dimension ref="A1:I20"/>
  <sheetViews>
    <sheetView tabSelected="1" topLeftCell="F1" workbookViewId="0">
      <selection activeCell="I2" sqref="I2"/>
    </sheetView>
  </sheetViews>
  <sheetFormatPr defaultRowHeight="15" x14ac:dyDescent="0.25"/>
  <cols>
    <col min="1" max="1" width="21.140625" customWidth="1"/>
    <col min="2" max="2" width="11.85546875" bestFit="1" customWidth="1"/>
    <col min="3" max="3" width="10.42578125" customWidth="1"/>
    <col min="4" max="4" width="11.140625" bestFit="1" customWidth="1"/>
    <col min="5" max="6" width="22.42578125" customWidth="1"/>
    <col min="7" max="7" width="3" customWidth="1"/>
    <col min="8" max="8" width="26.85546875" customWidth="1"/>
    <col min="9" max="9" width="179.42578125" bestFit="1" customWidth="1"/>
  </cols>
  <sheetData>
    <row r="1" spans="1:9" ht="49.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58</v>
      </c>
      <c r="H1" t="s">
        <v>59</v>
      </c>
      <c r="I1" t="s">
        <v>57</v>
      </c>
    </row>
    <row r="2" spans="1:9" x14ac:dyDescent="0.25">
      <c r="A2" s="1" t="s">
        <v>5</v>
      </c>
      <c r="B2" s="1"/>
      <c r="C2" s="1"/>
      <c r="D2" s="1" t="s">
        <v>39</v>
      </c>
      <c r="E2" s="1" t="s">
        <v>20</v>
      </c>
      <c r="F2" s="1" t="s">
        <v>20</v>
      </c>
      <c r="H2" s="1" t="s">
        <v>60</v>
      </c>
      <c r="I2" s="1" t="s">
        <v>61</v>
      </c>
    </row>
    <row r="3" spans="1:9" x14ac:dyDescent="0.25">
      <c r="A3" s="1" t="s">
        <v>6</v>
      </c>
      <c r="B3" s="1"/>
      <c r="C3" s="1"/>
      <c r="D3" s="1" t="s">
        <v>39</v>
      </c>
      <c r="E3" s="1" t="s">
        <v>21</v>
      </c>
      <c r="F3" s="1" t="s">
        <v>21</v>
      </c>
      <c r="H3" s="1" t="s">
        <v>56</v>
      </c>
      <c r="I3" s="1" t="s">
        <v>65</v>
      </c>
    </row>
    <row r="4" spans="1:9" x14ac:dyDescent="0.25">
      <c r="A4" s="1" t="s">
        <v>7</v>
      </c>
      <c r="B4" s="1"/>
      <c r="C4" s="1"/>
      <c r="D4" s="1" t="s">
        <v>39</v>
      </c>
      <c r="E4" s="1" t="s">
        <v>22</v>
      </c>
      <c r="F4" s="1" t="s">
        <v>22</v>
      </c>
    </row>
    <row r="5" spans="1:9" x14ac:dyDescent="0.25">
      <c r="A5" s="1" t="s">
        <v>8</v>
      </c>
      <c r="B5" s="1"/>
      <c r="C5" s="1"/>
      <c r="D5" s="1" t="s">
        <v>39</v>
      </c>
      <c r="E5" s="1" t="s">
        <v>23</v>
      </c>
      <c r="F5" s="1" t="s">
        <v>23</v>
      </c>
    </row>
    <row r="6" spans="1:9" x14ac:dyDescent="0.25">
      <c r="A6" s="1" t="s">
        <v>62</v>
      </c>
      <c r="B6" s="1"/>
      <c r="C6" s="1"/>
      <c r="D6" s="1" t="s">
        <v>39</v>
      </c>
      <c r="E6" s="1" t="s">
        <v>63</v>
      </c>
      <c r="F6" s="1" t="s">
        <v>63</v>
      </c>
    </row>
    <row r="7" spans="1:9" x14ac:dyDescent="0.25">
      <c r="A7" s="1" t="s">
        <v>9</v>
      </c>
      <c r="B7" s="1"/>
      <c r="C7" s="1"/>
      <c r="D7" s="1" t="s">
        <v>39</v>
      </c>
      <c r="E7" s="1" t="s">
        <v>24</v>
      </c>
      <c r="F7" s="1" t="s">
        <v>24</v>
      </c>
    </row>
    <row r="8" spans="1:9" x14ac:dyDescent="0.25">
      <c r="A8" s="1" t="s">
        <v>10</v>
      </c>
      <c r="B8" s="1"/>
      <c r="C8" s="1"/>
      <c r="D8" s="1" t="s">
        <v>39</v>
      </c>
      <c r="E8" s="1" t="s">
        <v>25</v>
      </c>
      <c r="F8" s="1" t="s">
        <v>25</v>
      </c>
    </row>
    <row r="9" spans="1:9" x14ac:dyDescent="0.25">
      <c r="A9" s="1" t="s">
        <v>11</v>
      </c>
      <c r="B9" s="1"/>
      <c r="C9" s="1"/>
      <c r="D9" s="1" t="s">
        <v>39</v>
      </c>
      <c r="E9" s="1" t="s">
        <v>26</v>
      </c>
      <c r="F9" s="1" t="s">
        <v>26</v>
      </c>
    </row>
    <row r="10" spans="1:9" x14ac:dyDescent="0.25">
      <c r="A10" s="1" t="s">
        <v>34</v>
      </c>
      <c r="B10" s="1"/>
      <c r="C10" s="1"/>
      <c r="D10" s="1" t="s">
        <v>39</v>
      </c>
      <c r="E10" s="1" t="s">
        <v>35</v>
      </c>
      <c r="F10" s="1" t="s">
        <v>35</v>
      </c>
    </row>
    <row r="11" spans="1:9" x14ac:dyDescent="0.25">
      <c r="A11" s="1" t="s">
        <v>17</v>
      </c>
      <c r="B11" s="1"/>
      <c r="C11" s="1"/>
      <c r="D11" s="1" t="s">
        <v>39</v>
      </c>
      <c r="E11" s="1" t="s">
        <v>31</v>
      </c>
      <c r="F11" s="1" t="s">
        <v>31</v>
      </c>
    </row>
    <row r="12" spans="1:9" x14ac:dyDescent="0.25">
      <c r="A12" s="1" t="s">
        <v>18</v>
      </c>
      <c r="B12" s="1"/>
      <c r="C12" s="1"/>
      <c r="D12" s="1" t="s">
        <v>39</v>
      </c>
      <c r="E12" s="1" t="s">
        <v>32</v>
      </c>
      <c r="F12" s="1" t="s">
        <v>32</v>
      </c>
    </row>
    <row r="13" spans="1:9" x14ac:dyDescent="0.25">
      <c r="A13" s="1" t="s">
        <v>16</v>
      </c>
      <c r="B13" s="1"/>
      <c r="C13" s="1"/>
      <c r="D13" s="1" t="s">
        <v>39</v>
      </c>
      <c r="E13" s="1" t="s">
        <v>30</v>
      </c>
      <c r="F13" s="1" t="s">
        <v>30</v>
      </c>
    </row>
    <row r="14" spans="1:9" x14ac:dyDescent="0.25">
      <c r="A14" s="1" t="s">
        <v>15</v>
      </c>
      <c r="B14" s="1"/>
      <c r="C14" s="1"/>
      <c r="D14" s="1" t="s">
        <v>39</v>
      </c>
      <c r="E14" s="1" t="s">
        <v>29</v>
      </c>
      <c r="F14" s="1" t="s">
        <v>29</v>
      </c>
    </row>
    <row r="15" spans="1:9" x14ac:dyDescent="0.25">
      <c r="A15" s="1" t="s">
        <v>37</v>
      </c>
      <c r="B15" s="1"/>
      <c r="C15" s="1"/>
      <c r="D15" s="1" t="s">
        <v>39</v>
      </c>
      <c r="E15" s="1" t="s">
        <v>38</v>
      </c>
      <c r="F15" s="1" t="s">
        <v>38</v>
      </c>
    </row>
    <row r="16" spans="1:9" x14ac:dyDescent="0.25">
      <c r="A16" s="1" t="s">
        <v>12</v>
      </c>
      <c r="B16" s="1"/>
      <c r="C16" s="1"/>
      <c r="D16" s="1" t="s">
        <v>39</v>
      </c>
      <c r="E16" s="1" t="s">
        <v>27</v>
      </c>
      <c r="F16" s="1" t="s">
        <v>27</v>
      </c>
    </row>
    <row r="17" spans="1:6" x14ac:dyDescent="0.25">
      <c r="A17" s="1" t="s">
        <v>13</v>
      </c>
      <c r="B17" s="1"/>
      <c r="C17" s="1"/>
      <c r="D17" s="1" t="s">
        <v>39</v>
      </c>
      <c r="E17" s="1" t="s">
        <v>36</v>
      </c>
      <c r="F17" s="1" t="s">
        <v>36</v>
      </c>
    </row>
    <row r="18" spans="1:6" x14ac:dyDescent="0.25">
      <c r="A18" s="1" t="s">
        <v>14</v>
      </c>
      <c r="B18" s="1"/>
      <c r="C18" s="1"/>
      <c r="D18" s="1" t="s">
        <v>39</v>
      </c>
      <c r="E18" s="1" t="s">
        <v>28</v>
      </c>
      <c r="F18" s="1" t="s">
        <v>28</v>
      </c>
    </row>
    <row r="19" spans="1:6" x14ac:dyDescent="0.25">
      <c r="A19" s="1" t="s">
        <v>19</v>
      </c>
      <c r="B19" s="1"/>
      <c r="C19" s="1"/>
      <c r="D19" s="1" t="s">
        <v>39</v>
      </c>
      <c r="E19" s="1" t="s">
        <v>33</v>
      </c>
      <c r="F19" s="1" t="s">
        <v>33</v>
      </c>
    </row>
    <row r="20" spans="1:6" x14ac:dyDescent="0.25">
      <c r="A20" s="3"/>
      <c r="B20" s="3"/>
      <c r="C20" s="3"/>
      <c r="D20" s="3"/>
      <c r="E20" s="3"/>
      <c r="F20" s="3" t="s">
        <v>64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NPCs</vt:lpstr>
      <vt:lpstr>EXPORT_NPCs</vt:lpstr>
      <vt:lpstr>LOOKUP</vt:lpstr>
      <vt:lpstr>Lookup_Components</vt:lpstr>
      <vt:lpstr>LIST_ComponentPackageNames</vt:lpstr>
      <vt:lpstr>LIST_NPC_Types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Howard</dc:creator>
  <cp:lastModifiedBy>Anders Howard</cp:lastModifiedBy>
  <dcterms:created xsi:type="dcterms:W3CDTF">2017-03-09T06:56:09Z</dcterms:created>
  <dcterms:modified xsi:type="dcterms:W3CDTF">2017-03-12T04:39:51Z</dcterms:modified>
</cp:coreProperties>
</file>